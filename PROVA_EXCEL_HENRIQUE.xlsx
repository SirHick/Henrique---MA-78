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nrique_dahmer\Documents\"/>
    </mc:Choice>
  </mc:AlternateContent>
  <bookViews>
    <workbookView xWindow="0" yWindow="0" windowWidth="28800" windowHeight="12180"/>
  </bookViews>
  <sheets>
    <sheet name="Planilha1" sheetId="1" r:id="rId1"/>
  </sheets>
  <definedNames>
    <definedName name="_xlnm._FilterDatabase" localSheetId="0" hidden="1">Planilha1!$I$9:$O$25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8" i="1" l="1"/>
  <c r="M49" i="1"/>
  <c r="M50" i="1"/>
  <c r="M51" i="1"/>
  <c r="M52" i="1"/>
  <c r="M11" i="1"/>
  <c r="M12" i="1"/>
  <c r="M13" i="1"/>
  <c r="M14" i="1"/>
  <c r="M15" i="1"/>
  <c r="M16" i="1"/>
  <c r="M17" i="1"/>
  <c r="K44" i="1" s="1"/>
  <c r="M18" i="1"/>
  <c r="J43" i="1" s="1"/>
  <c r="M19" i="1"/>
  <c r="K42" i="1" s="1"/>
  <c r="M20" i="1"/>
  <c r="K45" i="1" s="1"/>
  <c r="M21" i="1"/>
  <c r="K43" i="1" s="1"/>
  <c r="L43" i="1" s="1"/>
  <c r="M22" i="1"/>
  <c r="M23" i="1"/>
  <c r="M24" i="1"/>
  <c r="M25" i="1"/>
  <c r="M10" i="1"/>
  <c r="J35" i="1"/>
  <c r="J42" i="1"/>
  <c r="J31" i="1"/>
  <c r="L31" i="1" s="1"/>
  <c r="J32" i="1"/>
  <c r="J41" i="1"/>
  <c r="L41" i="1" s="1"/>
  <c r="J44" i="1"/>
  <c r="J34" i="1"/>
  <c r="J33" i="1"/>
  <c r="K35" i="1"/>
  <c r="K33" i="1"/>
  <c r="K32" i="1"/>
  <c r="K31" i="1"/>
  <c r="K41" i="1"/>
  <c r="K34" i="1"/>
  <c r="J45" i="1" l="1"/>
  <c r="L45" i="1" s="1"/>
  <c r="L44" i="1"/>
  <c r="L42" i="1"/>
  <c r="L34" i="1"/>
  <c r="L33" i="1"/>
  <c r="L35" i="1"/>
  <c r="L32" i="1"/>
</calcChain>
</file>

<file path=xl/sharedStrings.xml><?xml version="1.0" encoding="utf-8"?>
<sst xmlns="http://schemas.openxmlformats.org/spreadsheetml/2006/main" count="83" uniqueCount="23">
  <si>
    <t>AVALIAÇÃO PRÁTICA</t>
  </si>
  <si>
    <t>Produto</t>
  </si>
  <si>
    <t>Categoria</t>
  </si>
  <si>
    <t>Quantidade</t>
  </si>
  <si>
    <t>Valor Unitário</t>
  </si>
  <si>
    <t>Valor Total</t>
  </si>
  <si>
    <t>Data</t>
  </si>
  <si>
    <t>Tipo</t>
  </si>
  <si>
    <t>Parafuso Aço</t>
  </si>
  <si>
    <t>Porca Sextavada</t>
  </si>
  <si>
    <t>Chapa Metálica</t>
  </si>
  <si>
    <t>Tinta Industrial</t>
  </si>
  <si>
    <t>Lubrificante</t>
  </si>
  <si>
    <t>Fixação</t>
  </si>
  <si>
    <t>Matéria-prima</t>
  </si>
  <si>
    <t>Acabamento</t>
  </si>
  <si>
    <t>Manutenção</t>
  </si>
  <si>
    <t>Saída</t>
  </si>
  <si>
    <t>Entrada</t>
  </si>
  <si>
    <t>Saldo do Estoque</t>
  </si>
  <si>
    <t>QUANTIDADE</t>
  </si>
  <si>
    <t>Valor</t>
  </si>
  <si>
    <t>Qual o Produto com maior número de Saídas?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</si>
</sst>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44" fontId="0" fillId="0" borderId="1" xfId="1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0" xfId="0" applyNumberForma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Saldo Estoque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Planilha1!$I$31:$I$35</c:f>
              <c:strCache>
                <c:ptCount val="5"/>
                <c:pt idx="0">
                  <c:v>Parafuso Aço</c:v>
                </c:pt>
                <c:pt idx="1">
                  <c:v>Porca Sextavada</c:v>
                </c:pt>
                <c:pt idx="2">
                  <c:v>Chapa Metálica</c:v>
                </c:pt>
                <c:pt idx="3">
                  <c:v>Tinta Industrial</c:v>
                </c:pt>
                <c:pt idx="4">
                  <c:v>Lubrificante</c:v>
                </c:pt>
              </c:strCache>
            </c:strRef>
          </c:cat>
          <c:val>
            <c:numRef>
              <c:f>Planilha1!$L$31:$L$35</c:f>
              <c:numCache>
                <c:formatCode>General</c:formatCode>
                <c:ptCount val="5"/>
                <c:pt idx="0">
                  <c:v>130</c:v>
                </c:pt>
                <c:pt idx="1">
                  <c:v>210</c:v>
                </c:pt>
                <c:pt idx="2">
                  <c:v>70</c:v>
                </c:pt>
                <c:pt idx="3">
                  <c:v>18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A-431F-865E-B95164FBA2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135072"/>
        <c:axId val="326134240"/>
      </c:barChart>
      <c:catAx>
        <c:axId val="32613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6134240"/>
        <c:crosses val="autoZero"/>
        <c:auto val="1"/>
        <c:lblAlgn val="ctr"/>
        <c:lblOffset val="100"/>
        <c:noMultiLvlLbl val="0"/>
      </c:catAx>
      <c:valAx>
        <c:axId val="32613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61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5" name="AutoShape 1" descr="SENAI Chapecó | Chapecó S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6" name="AutoShape 2" descr="SENAI Chapecó | Chapecó S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114300</xdr:rowOff>
    </xdr:to>
    <xdr:sp macro="" textlink="">
      <xdr:nvSpPr>
        <xdr:cNvPr id="1027" name="AutoShape 3" descr="SENAI Chapecó | Chapecó SC"/>
        <xdr:cNvSpPr>
          <a:spLocks noChangeAspect="1" noChangeArrowheads="1"/>
        </xdr:cNvSpPr>
      </xdr:nvSpPr>
      <xdr:spPr bwMode="auto">
        <a:xfrm>
          <a:off x="18288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114300</xdr:rowOff>
    </xdr:to>
    <xdr:sp macro="" textlink="">
      <xdr:nvSpPr>
        <xdr:cNvPr id="1029" name="AutoShape 5" descr="Senai-MT abre 320 vagas em cursos técnicos pelo Enem - Agência de Notícias  da Indústria"/>
        <xdr:cNvSpPr>
          <a:spLocks noChangeAspect="1" noChangeArrowheads="1"/>
        </xdr:cNvSpPr>
      </xdr:nvSpPr>
      <xdr:spPr bwMode="auto">
        <a:xfrm>
          <a:off x="18288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114300</xdr:rowOff>
    </xdr:to>
    <xdr:sp macro="" textlink="">
      <xdr:nvSpPr>
        <xdr:cNvPr id="1030" name="AutoShape 6" descr="Senai-MT abre 320 vagas em cursos técnicos pelo Enem - Agência de Notícias  da Indústria"/>
        <xdr:cNvSpPr>
          <a:spLocks noChangeAspect="1" noChangeArrowheads="1"/>
        </xdr:cNvSpPr>
      </xdr:nvSpPr>
      <xdr:spPr bwMode="auto">
        <a:xfrm>
          <a:off x="18288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400050</xdr:colOff>
      <xdr:row>0</xdr:row>
      <xdr:rowOff>38100</xdr:rowOff>
    </xdr:from>
    <xdr:to>
      <xdr:col>11</xdr:col>
      <xdr:colOff>457200</xdr:colOff>
      <xdr:row>6</xdr:row>
      <xdr:rowOff>152400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950" y="38100"/>
          <a:ext cx="2847975" cy="1600200"/>
        </a:xfrm>
        <a:prstGeom prst="rect">
          <a:avLst/>
        </a:prstGeom>
      </xdr:spPr>
    </xdr:pic>
    <xdr:clientData/>
  </xdr:twoCellAnchor>
  <xdr:twoCellAnchor>
    <xdr:from>
      <xdr:col>12</xdr:col>
      <xdr:colOff>466724</xdr:colOff>
      <xdr:row>26</xdr:row>
      <xdr:rowOff>9525</xdr:rowOff>
    </xdr:from>
    <xdr:to>
      <xdr:col>19</xdr:col>
      <xdr:colOff>28574</xdr:colOff>
      <xdr:row>40</xdr:row>
      <xdr:rowOff>142875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4:O52"/>
  <sheetViews>
    <sheetView tabSelected="1" topLeftCell="B1" workbookViewId="0">
      <selection activeCell="N4" sqref="N4"/>
    </sheetView>
  </sheetViews>
  <sheetFormatPr defaultRowHeight="15" x14ac:dyDescent="0.25"/>
  <cols>
    <col min="7" max="7" width="32.5703125" customWidth="1"/>
    <col min="9" max="9" width="15.42578125" bestFit="1" customWidth="1"/>
    <col min="10" max="10" width="13.85546875" bestFit="1" customWidth="1"/>
    <col min="11" max="11" width="12.5703125" bestFit="1" customWidth="1"/>
    <col min="12" max="12" width="18.28515625" bestFit="1" customWidth="1"/>
    <col min="13" max="13" width="12.140625" style="1" bestFit="1" customWidth="1"/>
    <col min="14" max="14" width="23.5703125" style="1" customWidth="1"/>
    <col min="15" max="15" width="12.28515625" style="2" customWidth="1"/>
  </cols>
  <sheetData>
    <row r="4" spans="7:15" ht="42" x14ac:dyDescent="0.25">
      <c r="N4" s="13" t="s">
        <v>0</v>
      </c>
    </row>
    <row r="7" spans="7:15" ht="15" customHeight="1" x14ac:dyDescent="0.25">
      <c r="G7" s="14"/>
    </row>
    <row r="8" spans="7:15" ht="15" customHeight="1" x14ac:dyDescent="0.25">
      <c r="G8" s="14"/>
    </row>
    <row r="9" spans="7:15" ht="15.75" x14ac:dyDescent="0.25">
      <c r="I9" s="10" t="s">
        <v>1</v>
      </c>
      <c r="J9" s="10" t="s">
        <v>2</v>
      </c>
      <c r="K9" s="10" t="s">
        <v>3</v>
      </c>
      <c r="L9" s="10" t="s">
        <v>4</v>
      </c>
      <c r="M9" s="11" t="s">
        <v>5</v>
      </c>
      <c r="N9" s="12" t="s">
        <v>6</v>
      </c>
      <c r="O9" s="12" t="s">
        <v>7</v>
      </c>
    </row>
    <row r="10" spans="7:15" x14ac:dyDescent="0.25">
      <c r="I10" s="3" t="s">
        <v>8</v>
      </c>
      <c r="J10" s="3" t="s">
        <v>13</v>
      </c>
      <c r="K10" s="3">
        <v>-120</v>
      </c>
      <c r="L10" s="5">
        <v>0.5</v>
      </c>
      <c r="M10" s="8">
        <f t="shared" ref="M10:M25" si="0">PRODUCT(L10,K10)</f>
        <v>-60</v>
      </c>
      <c r="N10" s="7">
        <v>46083</v>
      </c>
      <c r="O10" s="4" t="s">
        <v>17</v>
      </c>
    </row>
    <row r="11" spans="7:15" x14ac:dyDescent="0.25">
      <c r="I11" s="3" t="s">
        <v>9</v>
      </c>
      <c r="J11" s="3" t="s">
        <v>13</v>
      </c>
      <c r="K11" s="3">
        <v>-200</v>
      </c>
      <c r="L11" s="5">
        <v>0.3</v>
      </c>
      <c r="M11" s="8">
        <f t="shared" si="0"/>
        <v>-60</v>
      </c>
      <c r="N11" s="7">
        <v>46083</v>
      </c>
      <c r="O11" s="4" t="s">
        <v>17</v>
      </c>
    </row>
    <row r="12" spans="7:15" x14ac:dyDescent="0.25">
      <c r="I12" s="3" t="s">
        <v>10</v>
      </c>
      <c r="J12" s="3" t="s">
        <v>14</v>
      </c>
      <c r="K12" s="3">
        <v>50</v>
      </c>
      <c r="L12" s="5">
        <v>25</v>
      </c>
      <c r="M12" s="8">
        <f t="shared" si="0"/>
        <v>1250</v>
      </c>
      <c r="N12" s="7">
        <v>46084</v>
      </c>
      <c r="O12" s="4" t="s">
        <v>18</v>
      </c>
    </row>
    <row r="13" spans="7:15" x14ac:dyDescent="0.25">
      <c r="I13" s="3" t="s">
        <v>11</v>
      </c>
      <c r="J13" s="3" t="s">
        <v>15</v>
      </c>
      <c r="K13" s="3">
        <v>-30</v>
      </c>
      <c r="L13" s="5">
        <v>80</v>
      </c>
      <c r="M13" s="8">
        <f t="shared" si="0"/>
        <v>-2400</v>
      </c>
      <c r="N13" s="7">
        <v>46084</v>
      </c>
      <c r="O13" s="4" t="s">
        <v>17</v>
      </c>
    </row>
    <row r="14" spans="7:15" x14ac:dyDescent="0.25">
      <c r="I14" s="3" t="s">
        <v>8</v>
      </c>
      <c r="J14" s="3" t="s">
        <v>13</v>
      </c>
      <c r="K14" s="3">
        <v>350</v>
      </c>
      <c r="L14" s="5">
        <v>0.5</v>
      </c>
      <c r="M14" s="8">
        <f t="shared" si="0"/>
        <v>175</v>
      </c>
      <c r="N14" s="7">
        <v>46085</v>
      </c>
      <c r="O14" s="4" t="s">
        <v>18</v>
      </c>
    </row>
    <row r="15" spans="7:15" x14ac:dyDescent="0.25">
      <c r="I15" s="3" t="s">
        <v>9</v>
      </c>
      <c r="J15" s="3" t="s">
        <v>13</v>
      </c>
      <c r="K15" s="3">
        <v>-30</v>
      </c>
      <c r="L15" s="5">
        <v>0.3</v>
      </c>
      <c r="M15" s="8">
        <f t="shared" si="0"/>
        <v>-9</v>
      </c>
      <c r="N15" s="7">
        <v>46085</v>
      </c>
      <c r="O15" s="4" t="s">
        <v>17</v>
      </c>
    </row>
    <row r="16" spans="7:15" x14ac:dyDescent="0.25">
      <c r="I16" s="3" t="s">
        <v>12</v>
      </c>
      <c r="J16" s="3" t="s">
        <v>16</v>
      </c>
      <c r="K16" s="3">
        <v>-20</v>
      </c>
      <c r="L16" s="5">
        <v>45</v>
      </c>
      <c r="M16" s="8">
        <f t="shared" si="0"/>
        <v>-900</v>
      </c>
      <c r="N16" s="7">
        <v>46085</v>
      </c>
      <c r="O16" s="4" t="s">
        <v>17</v>
      </c>
    </row>
    <row r="17" spans="9:15" x14ac:dyDescent="0.25">
      <c r="I17" s="3" t="s">
        <v>11</v>
      </c>
      <c r="J17" s="3" t="s">
        <v>15</v>
      </c>
      <c r="K17" s="3">
        <v>68</v>
      </c>
      <c r="L17" s="5">
        <v>80</v>
      </c>
      <c r="M17" s="8">
        <f t="shared" si="0"/>
        <v>5440</v>
      </c>
      <c r="N17" s="7">
        <v>46086</v>
      </c>
      <c r="O17" s="4" t="s">
        <v>18</v>
      </c>
    </row>
    <row r="18" spans="9:15" x14ac:dyDescent="0.25">
      <c r="I18" s="3" t="s">
        <v>10</v>
      </c>
      <c r="J18" s="3" t="s">
        <v>14</v>
      </c>
      <c r="K18" s="3">
        <v>-40</v>
      </c>
      <c r="L18" s="5">
        <v>25</v>
      </c>
      <c r="M18" s="8">
        <f t="shared" si="0"/>
        <v>-1000</v>
      </c>
      <c r="N18" s="7">
        <v>46086</v>
      </c>
      <c r="O18" s="4" t="s">
        <v>17</v>
      </c>
    </row>
    <row r="19" spans="9:15" x14ac:dyDescent="0.25">
      <c r="I19" s="3" t="s">
        <v>9</v>
      </c>
      <c r="J19" s="3" t="s">
        <v>13</v>
      </c>
      <c r="K19" s="3">
        <v>600</v>
      </c>
      <c r="L19" s="5">
        <v>0.3</v>
      </c>
      <c r="M19" s="8">
        <f t="shared" si="0"/>
        <v>180</v>
      </c>
      <c r="N19" s="7">
        <v>46087</v>
      </c>
      <c r="O19" s="4" t="s">
        <v>18</v>
      </c>
    </row>
    <row r="20" spans="9:15" x14ac:dyDescent="0.25">
      <c r="I20" s="3" t="s">
        <v>12</v>
      </c>
      <c r="J20" s="3" t="s">
        <v>16</v>
      </c>
      <c r="K20" s="3">
        <v>45</v>
      </c>
      <c r="L20" s="5">
        <v>45</v>
      </c>
      <c r="M20" s="8">
        <f t="shared" si="0"/>
        <v>2025</v>
      </c>
      <c r="N20" s="7">
        <v>46087</v>
      </c>
      <c r="O20" s="4" t="s">
        <v>18</v>
      </c>
    </row>
    <row r="21" spans="9:15" x14ac:dyDescent="0.25">
      <c r="I21" s="3" t="s">
        <v>10</v>
      </c>
      <c r="J21" s="3" t="s">
        <v>14</v>
      </c>
      <c r="K21" s="3">
        <v>60</v>
      </c>
      <c r="L21" s="5">
        <v>25</v>
      </c>
      <c r="M21" s="8">
        <f t="shared" si="0"/>
        <v>1500</v>
      </c>
      <c r="N21" s="7">
        <v>46088</v>
      </c>
      <c r="O21" s="4" t="s">
        <v>18</v>
      </c>
    </row>
    <row r="22" spans="9:15" x14ac:dyDescent="0.25">
      <c r="I22" s="3" t="s">
        <v>8</v>
      </c>
      <c r="J22" s="3" t="s">
        <v>13</v>
      </c>
      <c r="K22" s="3">
        <v>-100</v>
      </c>
      <c r="L22" s="5">
        <v>0.5</v>
      </c>
      <c r="M22" s="8">
        <f t="shared" si="0"/>
        <v>-50</v>
      </c>
      <c r="N22" s="7">
        <v>46088</v>
      </c>
      <c r="O22" s="4" t="s">
        <v>17</v>
      </c>
    </row>
    <row r="23" spans="9:15" x14ac:dyDescent="0.25">
      <c r="I23" s="3" t="s">
        <v>11</v>
      </c>
      <c r="J23" s="3" t="s">
        <v>15</v>
      </c>
      <c r="K23" s="3">
        <v>-20</v>
      </c>
      <c r="L23" s="5">
        <v>80</v>
      </c>
      <c r="M23" s="8">
        <f t="shared" si="0"/>
        <v>-1600</v>
      </c>
      <c r="N23" s="7">
        <v>46089</v>
      </c>
      <c r="O23" s="4" t="s">
        <v>17</v>
      </c>
    </row>
    <row r="24" spans="9:15" x14ac:dyDescent="0.25">
      <c r="I24" s="3" t="s">
        <v>9</v>
      </c>
      <c r="J24" s="3" t="s">
        <v>13</v>
      </c>
      <c r="K24" s="3">
        <v>-160</v>
      </c>
      <c r="L24" s="5">
        <v>0.3</v>
      </c>
      <c r="M24" s="8">
        <f t="shared" si="0"/>
        <v>-48</v>
      </c>
      <c r="N24" s="7">
        <v>46089</v>
      </c>
      <c r="O24" s="4" t="s">
        <v>17</v>
      </c>
    </row>
    <row r="25" spans="9:15" x14ac:dyDescent="0.25">
      <c r="I25" s="3" t="s">
        <v>12</v>
      </c>
      <c r="J25" s="3" t="s">
        <v>16</v>
      </c>
      <c r="K25" s="3">
        <v>-10</v>
      </c>
      <c r="L25" s="5">
        <v>45</v>
      </c>
      <c r="M25" s="8">
        <f t="shared" si="0"/>
        <v>-450</v>
      </c>
      <c r="N25" s="7">
        <v>46090</v>
      </c>
      <c r="O25" s="4" t="s">
        <v>17</v>
      </c>
    </row>
    <row r="26" spans="9:15" x14ac:dyDescent="0.25">
      <c r="M26" s="9"/>
    </row>
    <row r="29" spans="9:15" ht="15.75" x14ac:dyDescent="0.25">
      <c r="J29" s="15" t="s">
        <v>20</v>
      </c>
      <c r="K29" s="16"/>
      <c r="L29" s="17"/>
    </row>
    <row r="30" spans="9:15" ht="30.75" customHeight="1" x14ac:dyDescent="0.25">
      <c r="I30" s="12" t="s">
        <v>1</v>
      </c>
      <c r="J30" s="12" t="s">
        <v>17</v>
      </c>
      <c r="K30" s="12" t="s">
        <v>18</v>
      </c>
      <c r="L30" s="12" t="s">
        <v>19</v>
      </c>
    </row>
    <row r="31" spans="9:15" x14ac:dyDescent="0.25">
      <c r="I31" s="3" t="s">
        <v>8</v>
      </c>
      <c r="J31" s="3">
        <f>SUMIFS(K:K,I:I,I31,O:O,"Saída")</f>
        <v>-220</v>
      </c>
      <c r="K31" s="3">
        <f>SUMIFS(K:K,I:I,I31,O:O,"Entrada")</f>
        <v>350</v>
      </c>
      <c r="L31" s="3">
        <f>K31+J31</f>
        <v>130</v>
      </c>
    </row>
    <row r="32" spans="9:15" x14ac:dyDescent="0.25">
      <c r="I32" s="3" t="s">
        <v>9</v>
      </c>
      <c r="J32" s="3">
        <f>SUMIFS(K:K,I:I,I32,O:O,"Saída")</f>
        <v>-390</v>
      </c>
      <c r="K32" s="3">
        <f>SUMIFS(K:K,I:I,I32,O:O,"Entrada")</f>
        <v>600</v>
      </c>
      <c r="L32" s="3">
        <f>K32+J32</f>
        <v>210</v>
      </c>
    </row>
    <row r="33" spans="9:13" x14ac:dyDescent="0.25">
      <c r="I33" s="3" t="s">
        <v>10</v>
      </c>
      <c r="J33" s="3">
        <f>SUMIFS(K:K,I:I,I33,O:O,"Saída")</f>
        <v>-40</v>
      </c>
      <c r="K33" s="3">
        <f>SUMIFS(K:K,I:I,I33,O:O,"Entrada")</f>
        <v>110</v>
      </c>
      <c r="L33" s="3">
        <f>K33+J33</f>
        <v>70</v>
      </c>
    </row>
    <row r="34" spans="9:13" x14ac:dyDescent="0.25">
      <c r="I34" s="3" t="s">
        <v>11</v>
      </c>
      <c r="J34" s="3">
        <f>SUMIFS(K:K,I:I,I34,O:O,"Saída")</f>
        <v>-50</v>
      </c>
      <c r="K34" s="3">
        <f>SUMIFS(K:K,I:I,I34,O:O,"Entrada")</f>
        <v>68</v>
      </c>
      <c r="L34" s="3">
        <f>K34+J34</f>
        <v>18</v>
      </c>
    </row>
    <row r="35" spans="9:13" x14ac:dyDescent="0.25">
      <c r="I35" s="3" t="s">
        <v>12</v>
      </c>
      <c r="J35" s="3">
        <f>SUMIFS(K:K,I:I,I35,O:O,"Saída")</f>
        <v>-30</v>
      </c>
      <c r="K35" s="3">
        <f>SUMIFS(K:K,I:I,I35,O:O,"Entrada")</f>
        <v>45</v>
      </c>
      <c r="L35" s="3">
        <f>K35+J35</f>
        <v>15</v>
      </c>
    </row>
    <row r="39" spans="9:13" ht="15.75" x14ac:dyDescent="0.25">
      <c r="J39" s="15" t="s">
        <v>21</v>
      </c>
      <c r="K39" s="16"/>
      <c r="L39" s="17"/>
    </row>
    <row r="40" spans="9:13" ht="15.75" x14ac:dyDescent="0.25">
      <c r="I40" s="12" t="s">
        <v>1</v>
      </c>
      <c r="J40" s="12" t="s">
        <v>17</v>
      </c>
      <c r="K40" s="12" t="s">
        <v>18</v>
      </c>
      <c r="L40" s="12" t="s">
        <v>19</v>
      </c>
    </row>
    <row r="41" spans="9:13" x14ac:dyDescent="0.25">
      <c r="I41" s="3" t="s">
        <v>8</v>
      </c>
      <c r="J41" s="5">
        <f>SUMIFS(M:M,I:I,I41,O:O,"Saída")</f>
        <v>-110</v>
      </c>
      <c r="K41" s="5">
        <f>SUMIFS(M:M,I:I,I41,O:O,"Entrada")</f>
        <v>175</v>
      </c>
      <c r="L41" s="5">
        <f>K41+J41</f>
        <v>65</v>
      </c>
    </row>
    <row r="42" spans="9:13" x14ac:dyDescent="0.25">
      <c r="I42" s="3" t="s">
        <v>9</v>
      </c>
      <c r="J42" s="5">
        <f>SUMIFS(M:M,I:I,I42,O:O,"Saída")</f>
        <v>-117</v>
      </c>
      <c r="K42" s="5">
        <f>SUMIFS(M:M,I:I,I42,O:O,"Entrada")</f>
        <v>180</v>
      </c>
      <c r="L42" s="5">
        <f t="shared" ref="L42:L45" si="1">K42+J42</f>
        <v>63</v>
      </c>
    </row>
    <row r="43" spans="9:13" x14ac:dyDescent="0.25">
      <c r="I43" s="3" t="s">
        <v>10</v>
      </c>
      <c r="J43" s="5">
        <f>SUMIFS(M:M,I:I,I43,O:O,"Saída")</f>
        <v>-1000</v>
      </c>
      <c r="K43" s="5">
        <f>SUMIFS(M:M,I:I,I43,O:O,"Entrada")</f>
        <v>2750</v>
      </c>
      <c r="L43" s="5">
        <f t="shared" si="1"/>
        <v>1750</v>
      </c>
    </row>
    <row r="44" spans="9:13" x14ac:dyDescent="0.25">
      <c r="I44" s="3" t="s">
        <v>11</v>
      </c>
      <c r="J44" s="5">
        <f>SUMIFS(M:M,I:I,I44,O:O,"Saída")</f>
        <v>-4000</v>
      </c>
      <c r="K44" s="5">
        <f>SUMIFS(M:M,I:I,I44,O:O,"Entrada")</f>
        <v>5440</v>
      </c>
      <c r="L44" s="5">
        <f t="shared" si="1"/>
        <v>1440</v>
      </c>
    </row>
    <row r="45" spans="9:13" x14ac:dyDescent="0.25">
      <c r="I45" s="3" t="s">
        <v>12</v>
      </c>
      <c r="J45" s="5">
        <f>SUMIFS(M:M,I:I,I45,O:O,"Saída")</f>
        <v>-1350</v>
      </c>
      <c r="K45" s="5">
        <f>SUMIFS(M:M,I:I,I45,O:O,"Entrada")</f>
        <v>2025</v>
      </c>
      <c r="L45" s="5">
        <f t="shared" si="1"/>
        <v>675</v>
      </c>
    </row>
    <row r="47" spans="9:13" x14ac:dyDescent="0.25">
      <c r="I47" s="18" t="s">
        <v>22</v>
      </c>
      <c r="J47" s="18"/>
      <c r="K47" s="18"/>
    </row>
    <row r="48" spans="9:13" x14ac:dyDescent="0.25">
      <c r="L48" s="3" t="s">
        <v>8</v>
      </c>
      <c r="M48" s="6">
        <f>COUNTIFS(O:O,"Saída",I:I,L48)</f>
        <v>2</v>
      </c>
    </row>
    <row r="49" spans="9:13" ht="15.75" x14ac:dyDescent="0.25">
      <c r="I49" s="19" t="s">
        <v>9</v>
      </c>
      <c r="J49" s="20"/>
      <c r="L49" s="3" t="s">
        <v>9</v>
      </c>
      <c r="M49" s="6">
        <f>COUNTIFS(O:O,"Saída",I:I,L49)</f>
        <v>3</v>
      </c>
    </row>
    <row r="50" spans="9:13" x14ac:dyDescent="0.25">
      <c r="L50" s="3" t="s">
        <v>10</v>
      </c>
      <c r="M50" s="6">
        <f>COUNTIFS(O:O,"Saída",I:I,L50)</f>
        <v>1</v>
      </c>
    </row>
    <row r="51" spans="9:13" x14ac:dyDescent="0.25">
      <c r="L51" s="3" t="s">
        <v>11</v>
      </c>
      <c r="M51" s="6">
        <f>COUNTIFS(O:O,"Saída",I:I,L51)</f>
        <v>2</v>
      </c>
    </row>
    <row r="52" spans="9:13" x14ac:dyDescent="0.25">
      <c r="L52" s="3" t="s">
        <v>12</v>
      </c>
      <c r="M52" s="6">
        <f>COUNTIFS(O:O,"Saída",I:I,L52)</f>
        <v>2</v>
      </c>
    </row>
  </sheetData>
  <mergeCells count="4">
    <mergeCell ref="J29:L29"/>
    <mergeCell ref="J39:L39"/>
    <mergeCell ref="I47:K47"/>
    <mergeCell ref="I49:J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MIGUEL DESCHAMPS DAHMER</dc:creator>
  <cp:lastModifiedBy>HENRIQUE MIGUEL DESCHAMPS DAHMER</cp:lastModifiedBy>
  <dcterms:created xsi:type="dcterms:W3CDTF">2026-04-24T21:55:04Z</dcterms:created>
  <dcterms:modified xsi:type="dcterms:W3CDTF">2026-04-24T23:34:54Z</dcterms:modified>
</cp:coreProperties>
</file>